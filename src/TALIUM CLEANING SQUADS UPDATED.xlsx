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s September 2026" sheetId="1" r:id="rId5"/>
    <sheet state="visible" name="Teams 2026" sheetId="2" r:id="rId6"/>
    <sheet state="visible" name="Team Members September 2026" sheetId="3" r:id="rId7"/>
    <sheet state="visible" name="(OLD) Jobs" sheetId="4" r:id="rId8"/>
    <sheet state="visible" name="(OLD) Teams" sheetId="5" r:id="rId9"/>
  </sheets>
  <definedNames/>
  <calcPr/>
</workbook>
</file>

<file path=xl/sharedStrings.xml><?xml version="1.0" encoding="utf-8"?>
<sst xmlns="http://schemas.openxmlformats.org/spreadsheetml/2006/main" count="44" uniqueCount="37">
  <si>
    <t>ID</t>
  </si>
  <si>
    <t>Team</t>
  </si>
  <si>
    <t>Person</t>
  </si>
  <si>
    <t>date</t>
  </si>
  <si>
    <t>Members</t>
  </si>
  <si>
    <t>Team_Number</t>
  </si>
  <si>
    <t>trash</t>
  </si>
  <si>
    <t>Total_Members</t>
  </si>
  <si>
    <t>Window</t>
  </si>
  <si>
    <t>Rank</t>
  </si>
  <si>
    <t>Average_Rank</t>
  </si>
  <si>
    <t>Bathroom</t>
  </si>
  <si>
    <t>Highest_Rank</t>
  </si>
  <si>
    <t>Trash</t>
  </si>
  <si>
    <t>mop</t>
  </si>
  <si>
    <t>Lowest_Rank</t>
  </si>
  <si>
    <t xml:space="preserve">SUPERVISOR </t>
  </si>
  <si>
    <t>Mop</t>
  </si>
  <si>
    <t>Annika</t>
  </si>
  <si>
    <t>Archie</t>
  </si>
  <si>
    <t>Avnish</t>
  </si>
  <si>
    <t>CJ</t>
  </si>
  <si>
    <t>Desmond</t>
  </si>
  <si>
    <t>Duncan</t>
  </si>
  <si>
    <t>Genevieve</t>
  </si>
  <si>
    <t>Ilija</t>
  </si>
  <si>
    <t>Jude</t>
  </si>
  <si>
    <t>Juliet</t>
  </si>
  <si>
    <t>Kathryhn</t>
  </si>
  <si>
    <t>Leo</t>
  </si>
  <si>
    <t>Logan</t>
  </si>
  <si>
    <t>Matthew</t>
  </si>
  <si>
    <t>Wes</t>
  </si>
  <si>
    <t>Nate, Illija, Desmond, Matthew</t>
  </si>
  <si>
    <t>CJ, Katyhryn, Wes, Annika, Juliet</t>
  </si>
  <si>
    <t>Daryl, Jude, Genevieve, Avnish, Annika</t>
  </si>
  <si>
    <t>Abby, Malek, Logn, Duncan, Leo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</si>
</sst>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Teams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OLD) Job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m Members September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bs September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OLD) Tea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9" displayName="Jobs" name="Jobs" id="2">
  <tableColumns count="6">
    <tableColumn name="ID" id="1"/>
    <tableColumn name="date" id="2"/>
    <tableColumn name="Trash" id="3"/>
    <tableColumn name="Window" id="4"/>
    <tableColumn name="Bathroom" id="5"/>
    <tableColumn name="Mop" id="6"/>
  </tableColumns>
  <tableStyleInfo name="Jobs September 2026-style" showColumnStripes="0" showFirstColumn="1" showLastColumn="1" showRowStripes="1"/>
</table>
</file>

<file path=xl/tables/table2.xml><?xml version="1.0" encoding="utf-8"?>
<table xmlns="http://schemas.openxmlformats.org/spreadsheetml/2006/main" ref="A1:F5" displayName="Teams" name="Teams" id="1">
  <tableColumns count="6">
    <tableColumn name="Team" id="1"/>
    <tableColumn name="Members" id="2"/>
    <tableColumn name="Total_Members" id="3"/>
    <tableColumn name="Average_Rank" id="4"/>
    <tableColumn name="Highest_Rank" id="5"/>
    <tableColumn name="Lowest_Rank" id="6"/>
  </tableColumns>
  <tableStyleInfo name="Teams 2026-style" showColumnStripes="0" showFirstColumn="1" showLastColumn="1" showRowStripes="1"/>
</table>
</file>

<file path=xl/tables/table3.xml><?xml version="1.0" encoding="utf-8"?>
<table xmlns="http://schemas.openxmlformats.org/spreadsheetml/2006/main" ref="A1:D16" displayName="Team_Members" name="Team_Members" id="4">
  <tableColumns count="4">
    <tableColumn name="ID" id="1"/>
    <tableColumn name="Person" id="2"/>
    <tableColumn name="Team_Number" id="3"/>
    <tableColumn name="Rank" id="4"/>
  </tableColumns>
  <tableStyleInfo name="Team Members September 2026-style" showColumnStripes="0" showFirstColumn="1" showLastColumn="1" showRowStripes="1"/>
</table>
</file>

<file path=xl/tables/table4.xml><?xml version="1.0" encoding="utf-8"?>
<table xmlns="http://schemas.openxmlformats.org/spreadsheetml/2006/main" ref="A1:G32" displayName="Table1_2" name="Table1_2" id="3">
  <tableColumns count="7">
    <tableColumn name="ID" id="1"/>
    <tableColumn name="date" id="2"/>
    <tableColumn name="trash" id="3"/>
    <tableColumn name="Window" id="4"/>
    <tableColumn name="Bathroom" id="5"/>
    <tableColumn name="mop" id="6"/>
    <tableColumn name="SUPERVISOR " id="7"/>
  </tableColumns>
  <tableStyleInfo name="(OLD) Jobs-style" showColumnStripes="0" showFirstColumn="1" showLastColumn="1" showRowStripes="1"/>
</table>
</file>

<file path=xl/tables/table5.xml><?xml version="1.0" encoding="utf-8"?>
<table xmlns="http://schemas.openxmlformats.org/spreadsheetml/2006/main" ref="A1:B5" displayName="Table2" name="Table2" id="5">
  <tableColumns count="2">
    <tableColumn name="ID" id="1"/>
    <tableColumn name="Team" id="2"/>
  </tableColumns>
  <tableStyleInfo name="(OLD) T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6" width="25.75"/>
  </cols>
  <sheetData>
    <row r="1" ht="22.5" customHeight="1">
      <c r="A1" s="1" t="s">
        <v>0</v>
      </c>
      <c r="B1" s="1" t="s">
        <v>3</v>
      </c>
      <c r="C1" s="1" t="s">
        <v>13</v>
      </c>
      <c r="D1" s="1" t="s">
        <v>8</v>
      </c>
      <c r="E1" s="1" t="s">
        <v>11</v>
      </c>
      <c r="F1" s="1" t="s">
        <v>17</v>
      </c>
    </row>
    <row r="2" ht="22.5" customHeight="1">
      <c r="A2" s="5">
        <f t="shared" ref="A2:A19" si="1">ROW()-1</f>
        <v>1</v>
      </c>
      <c r="B2" s="7">
        <f>IF(Jobs[ID]=1,DATE(2026,9,2),B1+7)</f>
        <v>46267</v>
      </c>
      <c r="C2" s="8" t="str">
        <f>IFERROR(__xludf.DUMMYFUNCTION("JOIN("", "",FILTER(Team_Members[Person],MOD($A2+2,4)+1=Team_Members[Team_Number]))"),"Duncan, Leo, Logan")</f>
        <v>Duncan, Leo, Logan</v>
      </c>
      <c r="D2" s="8" t="str">
        <f>IFERROR(__xludf.DUMMYFUNCTION("JOIN("", "",FILTER(Team_Members[Person],MOD($A2+1,4)+1=Team_Members[Team_Number]))"),"Annika, Avnish, Genevieve, Jude")</f>
        <v>Annika, Avnish, Genevieve, Jude</v>
      </c>
      <c r="E2" s="8" t="str">
        <f>IFERROR(__xludf.DUMMYFUNCTION("JOIN("", "",FILTER(Team_Members[Person],MOD($A2+0,4)+1=Team_Members[Team_Number]))"),"CJ, Juliet, Kathryhn, Wes")</f>
        <v>CJ, Juliet, Kathryhn, Wes</v>
      </c>
      <c r="F2" s="8" t="str">
        <f>IFERROR(__xludf.DUMMYFUNCTION("JOIN("", "",FILTER(Team_Members[Person],MOD($A2+3,4)+1=Team_Members[Team_Number]))"),"Archie, Desmond, Ilija, Matthew")</f>
        <v>Archie, Desmond, Ilija, Matthew</v>
      </c>
    </row>
    <row r="3" ht="22.5" customHeight="1">
      <c r="A3" s="5">
        <f t="shared" si="1"/>
        <v>2</v>
      </c>
      <c r="B3" s="7">
        <f>IF(Jobs[ID]=1,DATE(2026,9,9),B2+7)</f>
        <v>46274</v>
      </c>
      <c r="C3" s="8" t="str">
        <f>IFERROR(__xludf.DUMMYFUNCTION("JOIN("", "",FILTER(Team_Members[Person],MOD($A3+2,4)+1=Team_Members[Team_Number]))"),"Archie, Desmond, Ilija, Matthew")</f>
        <v>Archie, Desmond, Ilija, Matthew</v>
      </c>
      <c r="D3" s="8" t="str">
        <f>IFERROR(__xludf.DUMMYFUNCTION("JOIN("", "",FILTER(Team_Members[Person],MOD($A3+1,4)+1=Team_Members[Team_Number]))"),"Duncan, Leo, Logan")</f>
        <v>Duncan, Leo, Logan</v>
      </c>
      <c r="E3" s="8" t="str">
        <f>IFERROR(__xludf.DUMMYFUNCTION("JOIN("", "",FILTER(Team_Members[Person],MOD($A3+0,4)+1=Team_Members[Team_Number]))"),"Annika, Avnish, Genevieve, Jude")</f>
        <v>Annika, Avnish, Genevieve, Jude</v>
      </c>
      <c r="F3" s="8" t="str">
        <f>IFERROR(__xludf.DUMMYFUNCTION("JOIN("", "",FILTER(Team_Members[Person],MOD($A3+3,4)+1=Team_Members[Team_Number]))"),"CJ, Juliet, Kathryhn, Wes")</f>
        <v>CJ, Juliet, Kathryhn, Wes</v>
      </c>
    </row>
    <row r="4" ht="22.5" customHeight="1">
      <c r="A4" s="13">
        <f t="shared" si="1"/>
        <v>3</v>
      </c>
      <c r="B4" s="7">
        <f>IF(Jobs[ID]=1,DATE(2026,9,9),B3+7)</f>
        <v>46281</v>
      </c>
      <c r="C4" s="4" t="str">
        <f>IFERROR(__xludf.DUMMYFUNCTION("JOIN("", "",FILTER(Team_Members[Person],MOD($A4+2,4)+1=Team_Members[Team_Number]))"),"CJ, Juliet, Kathryhn, Wes")</f>
        <v>CJ, Juliet, Kathryhn, Wes</v>
      </c>
      <c r="D4" s="4" t="str">
        <f>IFERROR(__xludf.DUMMYFUNCTION("JOIN("", "",FILTER(Team_Members[Person],MOD($A4+1,4)+1=Team_Members[Team_Number]))"),"Archie, Desmond, Ilija, Matthew")</f>
        <v>Archie, Desmond, Ilija, Matthew</v>
      </c>
      <c r="E4" s="4" t="str">
        <f>IFERROR(__xludf.DUMMYFUNCTION("JOIN("", "",FILTER(Team_Members[Person],MOD($A4+0,4)+1=Team_Members[Team_Number]))"),"Duncan, Leo, Logan")</f>
        <v>Duncan, Leo, Logan</v>
      </c>
      <c r="F4" s="4" t="str">
        <f>IFERROR(__xludf.DUMMYFUNCTION("JOIN("", "",FILTER(Team_Members[Person],MOD($A4+3,4)+1=Team_Members[Team_Number]))"),"Annika, Avnish, Genevieve, Jude")</f>
        <v>Annika, Avnish, Genevieve, Jude</v>
      </c>
    </row>
    <row r="5" ht="22.5" customHeight="1">
      <c r="A5" s="13">
        <f t="shared" si="1"/>
        <v>4</v>
      </c>
      <c r="B5" s="7">
        <f>IF(Jobs[ID]=1,DATE(2026,9,9),B4+7)</f>
        <v>46288</v>
      </c>
      <c r="C5" s="4" t="str">
        <f>IFERROR(__xludf.DUMMYFUNCTION("JOIN("", "",FILTER(Team_Members[Person],MOD($A5+2,4)+1=Team_Members[Team_Number]))"),"Annika, Avnish, Genevieve, Jude")</f>
        <v>Annika, Avnish, Genevieve, Jude</v>
      </c>
      <c r="D5" s="4" t="str">
        <f>IFERROR(__xludf.DUMMYFUNCTION("JOIN("", "",FILTER(Team_Members[Person],MOD($A5+1,4)+1=Team_Members[Team_Number]))"),"CJ, Juliet, Kathryhn, Wes")</f>
        <v>CJ, Juliet, Kathryhn, Wes</v>
      </c>
      <c r="E5" s="4" t="str">
        <f>IFERROR(__xludf.DUMMYFUNCTION("JOIN("", "",FILTER(Team_Members[Person],MOD($A5+0,4)+1=Team_Members[Team_Number]))"),"Archie, Desmond, Ilija, Matthew")</f>
        <v>Archie, Desmond, Ilija, Matthew</v>
      </c>
      <c r="F5" s="4" t="str">
        <f>IFERROR(__xludf.DUMMYFUNCTION("JOIN("", "",FILTER(Team_Members[Person],MOD($A5+3,4)+1=Team_Members[Team_Number]))"),"Duncan, Leo, Logan")</f>
        <v>Duncan, Leo, Logan</v>
      </c>
    </row>
    <row r="6" ht="22.5" customHeight="1">
      <c r="A6" s="13">
        <f t="shared" si="1"/>
        <v>5</v>
      </c>
      <c r="B6" s="7">
        <f>IF(Jobs[ID]=1,DATE(2026,9,9),B5+7)</f>
        <v>46295</v>
      </c>
      <c r="C6" s="4" t="str">
        <f>IFERROR(__xludf.DUMMYFUNCTION("JOIN("", "",FILTER(Team_Members[Person],MOD($A6+2,4)+1=Team_Members[Team_Number]))"),"Duncan, Leo, Logan")</f>
        <v>Duncan, Leo, Logan</v>
      </c>
      <c r="D6" s="4" t="str">
        <f>IFERROR(__xludf.DUMMYFUNCTION("JOIN("", "",FILTER(Team_Members[Person],MOD($A6+1,4)+1=Team_Members[Team_Number]))"),"Annika, Avnish, Genevieve, Jude")</f>
        <v>Annika, Avnish, Genevieve, Jude</v>
      </c>
      <c r="E6" s="4" t="str">
        <f>IFERROR(__xludf.DUMMYFUNCTION("JOIN("", "",FILTER(Team_Members[Person],MOD($A6+0,4)+1=Team_Members[Team_Number]))"),"CJ, Juliet, Kathryhn, Wes")</f>
        <v>CJ, Juliet, Kathryhn, Wes</v>
      </c>
      <c r="F6" s="4" t="str">
        <f>IFERROR(__xludf.DUMMYFUNCTION("JOIN("", "",FILTER(Team_Members[Person],MOD($A6+3,4)+1=Team_Members[Team_Number]))"),"Archie, Desmond, Ilija, Matthew")</f>
        <v>Archie, Desmond, Ilija, Matthew</v>
      </c>
    </row>
    <row r="7" ht="22.5" customHeight="1">
      <c r="A7" s="13">
        <f t="shared" si="1"/>
        <v>6</v>
      </c>
      <c r="B7" s="7">
        <f>IF(Jobs[ID]=1,DATE(2026,9,9),B6+7)</f>
        <v>46302</v>
      </c>
      <c r="C7" s="4" t="str">
        <f>IFERROR(__xludf.DUMMYFUNCTION("JOIN("", "",FILTER(Team_Members[Person],MOD($A7+2,4)+1=Team_Members[Team_Number]))"),"Archie, Desmond, Ilija, Matthew")</f>
        <v>Archie, Desmond, Ilija, Matthew</v>
      </c>
      <c r="D7" s="4" t="str">
        <f>IFERROR(__xludf.DUMMYFUNCTION("JOIN("", "",FILTER(Team_Members[Person],MOD($A7+1,4)+1=Team_Members[Team_Number]))"),"Duncan, Leo, Logan")</f>
        <v>Duncan, Leo, Logan</v>
      </c>
      <c r="E7" s="4" t="str">
        <f>IFERROR(__xludf.DUMMYFUNCTION("JOIN("", "",FILTER(Team_Members[Person],MOD($A7+0,4)+1=Team_Members[Team_Number]))"),"Annika, Avnish, Genevieve, Jude")</f>
        <v>Annika, Avnish, Genevieve, Jude</v>
      </c>
      <c r="F7" s="4" t="str">
        <f>IFERROR(__xludf.DUMMYFUNCTION("JOIN("", "",FILTER(Team_Members[Person],MOD($A7+3,4)+1=Team_Members[Team_Number]))"),"CJ, Juliet, Kathryhn, Wes")</f>
        <v>CJ, Juliet, Kathryhn, Wes</v>
      </c>
    </row>
    <row r="8" ht="22.5" customHeight="1">
      <c r="A8" s="13">
        <f t="shared" si="1"/>
        <v>7</v>
      </c>
      <c r="B8" s="7">
        <f>IF(Jobs[ID]=1,DATE(2026,9,9),B7+7)</f>
        <v>46309</v>
      </c>
      <c r="C8" s="4" t="str">
        <f>IFERROR(__xludf.DUMMYFUNCTION("JOIN("", "",FILTER(Team_Members[Person],MOD($A8+2,4)+1=Team_Members[Team_Number]))"),"CJ, Juliet, Kathryhn, Wes")</f>
        <v>CJ, Juliet, Kathryhn, Wes</v>
      </c>
      <c r="D8" s="4" t="str">
        <f>IFERROR(__xludf.DUMMYFUNCTION("JOIN("", "",FILTER(Team_Members[Person],MOD($A8+1,4)+1=Team_Members[Team_Number]))"),"Archie, Desmond, Ilija, Matthew")</f>
        <v>Archie, Desmond, Ilija, Matthew</v>
      </c>
      <c r="E8" s="4" t="str">
        <f>IFERROR(__xludf.DUMMYFUNCTION("JOIN("", "",FILTER(Team_Members[Person],MOD($A8+0,4)+1=Team_Members[Team_Number]))"),"Duncan, Leo, Logan")</f>
        <v>Duncan, Leo, Logan</v>
      </c>
      <c r="F8" s="4" t="str">
        <f>IFERROR(__xludf.DUMMYFUNCTION("JOIN("", "",FILTER(Team_Members[Person],MOD($A8+3,4)+1=Team_Members[Team_Number]))"),"Annika, Avnish, Genevieve, Jude")</f>
        <v>Annika, Avnish, Genevieve, Jude</v>
      </c>
    </row>
    <row r="9" ht="22.5" customHeight="1">
      <c r="A9" s="13">
        <f t="shared" si="1"/>
        <v>8</v>
      </c>
      <c r="B9" s="7">
        <f>IF(Jobs[ID]=1,DATE(2026,9,9),B8+7)</f>
        <v>46316</v>
      </c>
      <c r="C9" s="4" t="str">
        <f>IFERROR(__xludf.DUMMYFUNCTION("JOIN("", "",FILTER(Team_Members[Person],MOD($A9+2,4)+1=Team_Members[Team_Number]))"),"Annika, Avnish, Genevieve, Jude")</f>
        <v>Annika, Avnish, Genevieve, Jude</v>
      </c>
      <c r="D9" s="4" t="str">
        <f>IFERROR(__xludf.DUMMYFUNCTION("JOIN("", "",FILTER(Team_Members[Person],MOD($A9+1,4)+1=Team_Members[Team_Number]))"),"CJ, Juliet, Kathryhn, Wes")</f>
        <v>CJ, Juliet, Kathryhn, Wes</v>
      </c>
      <c r="E9" s="4" t="str">
        <f>IFERROR(__xludf.DUMMYFUNCTION("JOIN("", "",FILTER(Team_Members[Person],MOD($A9+0,4)+1=Team_Members[Team_Number]))"),"Archie, Desmond, Ilija, Matthew")</f>
        <v>Archie, Desmond, Ilija, Matthew</v>
      </c>
      <c r="F9" s="4" t="str">
        <f>IFERROR(__xludf.DUMMYFUNCTION("JOIN("", "",FILTER(Team_Members[Person],MOD($A9+3,4)+1=Team_Members[Team_Number]))"),"Duncan, Leo, Logan")</f>
        <v>Duncan, Leo, Logan</v>
      </c>
    </row>
    <row r="10" ht="22.5" customHeight="1">
      <c r="A10" s="13">
        <f t="shared" si="1"/>
        <v>9</v>
      </c>
      <c r="B10" s="7">
        <f>IF(Jobs[ID]=1,DATE(2026,9,9),B9+7)</f>
        <v>46323</v>
      </c>
      <c r="C10" s="4" t="str">
        <f>IFERROR(__xludf.DUMMYFUNCTION("JOIN("", "",FILTER(Team_Members[Person],MOD($A10+2,4)+1=Team_Members[Team_Number]))"),"Duncan, Leo, Logan")</f>
        <v>Duncan, Leo, Logan</v>
      </c>
      <c r="D10" s="4" t="str">
        <f>IFERROR(__xludf.DUMMYFUNCTION("JOIN("", "",FILTER(Team_Members[Person],MOD($A10+1,4)+1=Team_Members[Team_Number]))"),"Annika, Avnish, Genevieve, Jude")</f>
        <v>Annika, Avnish, Genevieve, Jude</v>
      </c>
      <c r="E10" s="4" t="str">
        <f>IFERROR(__xludf.DUMMYFUNCTION("JOIN("", "",FILTER(Team_Members[Person],MOD($A10+0,4)+1=Team_Members[Team_Number]))"),"CJ, Juliet, Kathryhn, Wes")</f>
        <v>CJ, Juliet, Kathryhn, Wes</v>
      </c>
      <c r="F10" s="4" t="str">
        <f>IFERROR(__xludf.DUMMYFUNCTION("JOIN("", "",FILTER(Team_Members[Person],MOD($A10+3,4)+1=Team_Members[Team_Number]))"),"Archie, Desmond, Ilija, Matthew")</f>
        <v>Archie, Desmond, Ilija, Matthew</v>
      </c>
    </row>
    <row r="11" ht="22.5" customHeight="1">
      <c r="A11" s="13">
        <f t="shared" si="1"/>
        <v>10</v>
      </c>
      <c r="B11" s="7">
        <f>IF(Jobs[ID]=1,DATE(2026,9,9),B10+7)</f>
        <v>46330</v>
      </c>
      <c r="C11" s="4" t="str">
        <f>IFERROR(__xludf.DUMMYFUNCTION("JOIN("", "",FILTER(Team_Members[Person],MOD($A11+2,4)+1=Team_Members[Team_Number]))"),"Archie, Desmond, Ilija, Matthew")</f>
        <v>Archie, Desmond, Ilija, Matthew</v>
      </c>
      <c r="D11" s="4" t="str">
        <f>IFERROR(__xludf.DUMMYFUNCTION("JOIN("", "",FILTER(Team_Members[Person],MOD($A11+1,4)+1=Team_Members[Team_Number]))"),"Duncan, Leo, Logan")</f>
        <v>Duncan, Leo, Logan</v>
      </c>
      <c r="E11" s="4" t="str">
        <f>IFERROR(__xludf.DUMMYFUNCTION("JOIN("", "",FILTER(Team_Members[Person],MOD($A11+0,4)+1=Team_Members[Team_Number]))"),"Annika, Avnish, Genevieve, Jude")</f>
        <v>Annika, Avnish, Genevieve, Jude</v>
      </c>
      <c r="F11" s="4" t="str">
        <f>IFERROR(__xludf.DUMMYFUNCTION("JOIN("", "",FILTER(Team_Members[Person],MOD($A11+3,4)+1=Team_Members[Team_Number]))"),"CJ, Juliet, Kathryhn, Wes")</f>
        <v>CJ, Juliet, Kathryhn, Wes</v>
      </c>
    </row>
    <row r="12" ht="22.5" customHeight="1">
      <c r="A12" s="13">
        <f t="shared" si="1"/>
        <v>11</v>
      </c>
      <c r="B12" s="7">
        <f>IF(Jobs[ID]=1,DATE(2026,9,9),B11+7)</f>
        <v>46337</v>
      </c>
      <c r="C12" s="4" t="str">
        <f>IFERROR(__xludf.DUMMYFUNCTION("JOIN("", "",FILTER(Team_Members[Person],MOD($A12+2,4)+1=Team_Members[Team_Number]))"),"CJ, Juliet, Kathryhn, Wes")</f>
        <v>CJ, Juliet, Kathryhn, Wes</v>
      </c>
      <c r="D12" s="4" t="str">
        <f>IFERROR(__xludf.DUMMYFUNCTION("JOIN("", "",FILTER(Team_Members[Person],MOD($A12+1,4)+1=Team_Members[Team_Number]))"),"Archie, Desmond, Ilija, Matthew")</f>
        <v>Archie, Desmond, Ilija, Matthew</v>
      </c>
      <c r="E12" s="4" t="str">
        <f>IFERROR(__xludf.DUMMYFUNCTION("JOIN("", "",FILTER(Team_Members[Person],MOD($A12+0,4)+1=Team_Members[Team_Number]))"),"Duncan, Leo, Logan")</f>
        <v>Duncan, Leo, Logan</v>
      </c>
      <c r="F12" s="4" t="str">
        <f>IFERROR(__xludf.DUMMYFUNCTION("JOIN("", "",FILTER(Team_Members[Person],MOD($A12+3,4)+1=Team_Members[Team_Number]))"),"Annika, Avnish, Genevieve, Jude")</f>
        <v>Annika, Avnish, Genevieve, Jude</v>
      </c>
    </row>
    <row r="13" ht="22.5" customHeight="1">
      <c r="A13" s="13">
        <f t="shared" si="1"/>
        <v>12</v>
      </c>
      <c r="B13" s="7">
        <f>IF(Jobs[ID]=1,DATE(2026,9,9),B12+7)</f>
        <v>46344</v>
      </c>
      <c r="C13" s="4" t="str">
        <f>IFERROR(__xludf.DUMMYFUNCTION("JOIN("", "",FILTER(Team_Members[Person],MOD($A13+2,4)+1=Team_Members[Team_Number]))"),"Annika, Avnish, Genevieve, Jude")</f>
        <v>Annika, Avnish, Genevieve, Jude</v>
      </c>
      <c r="D13" s="4" t="str">
        <f>IFERROR(__xludf.DUMMYFUNCTION("JOIN("", "",FILTER(Team_Members[Person],MOD($A13+1,4)+1=Team_Members[Team_Number]))"),"CJ, Juliet, Kathryhn, Wes")</f>
        <v>CJ, Juliet, Kathryhn, Wes</v>
      </c>
      <c r="E13" s="4" t="str">
        <f>IFERROR(__xludf.DUMMYFUNCTION("JOIN("", "",FILTER(Team_Members[Person],MOD($A13+0,4)+1=Team_Members[Team_Number]))"),"Archie, Desmond, Ilija, Matthew")</f>
        <v>Archie, Desmond, Ilija, Matthew</v>
      </c>
      <c r="F13" s="4" t="str">
        <f>IFERROR(__xludf.DUMMYFUNCTION("JOIN("", "",FILTER(Team_Members[Person],MOD($A13+3,4)+1=Team_Members[Team_Number]))"),"Duncan, Leo, Logan")</f>
        <v>Duncan, Leo, Logan</v>
      </c>
    </row>
    <row r="14" ht="22.5" customHeight="1">
      <c r="A14" s="13">
        <f t="shared" si="1"/>
        <v>13</v>
      </c>
      <c r="B14" s="7">
        <f>IF(Jobs[ID]=1,DATE(2026,9,9),B13+7)</f>
        <v>46351</v>
      </c>
      <c r="C14" s="4" t="str">
        <f>IFERROR(__xludf.DUMMYFUNCTION("JOIN("", "",FILTER(Team_Members[Person],MOD($A14+2,4)+1=Team_Members[Team_Number]))"),"Duncan, Leo, Logan")</f>
        <v>Duncan, Leo, Logan</v>
      </c>
      <c r="D14" s="4" t="str">
        <f>IFERROR(__xludf.DUMMYFUNCTION("JOIN("", "",FILTER(Team_Members[Person],MOD($A14+1,4)+1=Team_Members[Team_Number]))"),"Annika, Avnish, Genevieve, Jude")</f>
        <v>Annika, Avnish, Genevieve, Jude</v>
      </c>
      <c r="E14" s="4" t="str">
        <f>IFERROR(__xludf.DUMMYFUNCTION("JOIN("", "",FILTER(Team_Members[Person],MOD($A14+0,4)+1=Team_Members[Team_Number]))"),"CJ, Juliet, Kathryhn, Wes")</f>
        <v>CJ, Juliet, Kathryhn, Wes</v>
      </c>
      <c r="F14" s="4" t="str">
        <f>IFERROR(__xludf.DUMMYFUNCTION("JOIN("", "",FILTER(Team_Members[Person],MOD($A14+3,4)+1=Team_Members[Team_Number]))"),"Archie, Desmond, Ilija, Matthew")</f>
        <v>Archie, Desmond, Ilija, Matthew</v>
      </c>
    </row>
    <row r="15" ht="22.5" customHeight="1">
      <c r="A15" s="13">
        <f t="shared" si="1"/>
        <v>14</v>
      </c>
      <c r="B15" s="7">
        <f>IF(Jobs[ID]=1,DATE(2026,9,9),B14+7)</f>
        <v>46358</v>
      </c>
      <c r="C15" s="4" t="str">
        <f>IFERROR(__xludf.DUMMYFUNCTION("JOIN("", "",FILTER(Team_Members[Person],MOD($A15+2,4)+1=Team_Members[Team_Number]))"),"Archie, Desmond, Ilija, Matthew")</f>
        <v>Archie, Desmond, Ilija, Matthew</v>
      </c>
      <c r="D15" s="4" t="str">
        <f>IFERROR(__xludf.DUMMYFUNCTION("JOIN("", "",FILTER(Team_Members[Person],MOD($A15+1,4)+1=Team_Members[Team_Number]))"),"Duncan, Leo, Logan")</f>
        <v>Duncan, Leo, Logan</v>
      </c>
      <c r="E15" s="4" t="str">
        <f>IFERROR(__xludf.DUMMYFUNCTION("JOIN("", "",FILTER(Team_Members[Person],MOD($A15+0,4)+1=Team_Members[Team_Number]))"),"Annika, Avnish, Genevieve, Jude")</f>
        <v>Annika, Avnish, Genevieve, Jude</v>
      </c>
      <c r="F15" s="4" t="str">
        <f>IFERROR(__xludf.DUMMYFUNCTION("JOIN("", "",FILTER(Team_Members[Person],MOD($A15+3,4)+1=Team_Members[Team_Number]))"),"CJ, Juliet, Kathryhn, Wes")</f>
        <v>CJ, Juliet, Kathryhn, Wes</v>
      </c>
    </row>
    <row r="16" ht="22.5" customHeight="1">
      <c r="A16" s="13">
        <f t="shared" si="1"/>
        <v>15</v>
      </c>
      <c r="B16" s="7">
        <f>IF(Jobs[ID]=1,DATE(2026,9,9),B15+7)</f>
        <v>46365</v>
      </c>
      <c r="C16" s="4" t="str">
        <f>IFERROR(__xludf.DUMMYFUNCTION("JOIN("", "",FILTER(Team_Members[Person],MOD($A16+2,4)+1=Team_Members[Team_Number]))"),"CJ, Juliet, Kathryhn, Wes")</f>
        <v>CJ, Juliet, Kathryhn, Wes</v>
      </c>
      <c r="D16" s="4" t="str">
        <f>IFERROR(__xludf.DUMMYFUNCTION("JOIN("", "",FILTER(Team_Members[Person],MOD($A16+1,4)+1=Team_Members[Team_Number]))"),"Archie, Desmond, Ilija, Matthew")</f>
        <v>Archie, Desmond, Ilija, Matthew</v>
      </c>
      <c r="E16" s="4" t="str">
        <f>IFERROR(__xludf.DUMMYFUNCTION("JOIN("", "",FILTER(Team_Members[Person],MOD($A16+0,4)+1=Team_Members[Team_Number]))"),"Duncan, Leo, Logan")</f>
        <v>Duncan, Leo, Logan</v>
      </c>
      <c r="F16" s="4" t="str">
        <f>IFERROR(__xludf.DUMMYFUNCTION("JOIN("", "",FILTER(Team_Members[Person],MOD($A16+3,4)+1=Team_Members[Team_Number]))"),"Annika, Avnish, Genevieve, Jude")</f>
        <v>Annika, Avnish, Genevieve, Jude</v>
      </c>
    </row>
    <row r="17" ht="22.5" customHeight="1">
      <c r="A17" s="13">
        <f t="shared" si="1"/>
        <v>16</v>
      </c>
      <c r="B17" s="7">
        <f>IF(Jobs[ID]=1,DATE(2026,9,9),B16+7)</f>
        <v>46372</v>
      </c>
      <c r="C17" s="4" t="str">
        <f>IFERROR(__xludf.DUMMYFUNCTION("JOIN("", "",FILTER(Team_Members[Person],MOD($A17+2,4)+1=Team_Members[Team_Number]))"),"Annika, Avnish, Genevieve, Jude")</f>
        <v>Annika, Avnish, Genevieve, Jude</v>
      </c>
      <c r="D17" s="4" t="str">
        <f>IFERROR(__xludf.DUMMYFUNCTION("JOIN("", "",FILTER(Team_Members[Person],MOD($A17+1,4)+1=Team_Members[Team_Number]))"),"CJ, Juliet, Kathryhn, Wes")</f>
        <v>CJ, Juliet, Kathryhn, Wes</v>
      </c>
      <c r="E17" s="4" t="str">
        <f>IFERROR(__xludf.DUMMYFUNCTION("JOIN("", "",FILTER(Team_Members[Person],MOD($A17+0,4)+1=Team_Members[Team_Number]))"),"Archie, Desmond, Ilija, Matthew")</f>
        <v>Archie, Desmond, Ilija, Matthew</v>
      </c>
      <c r="F17" s="4" t="str">
        <f>IFERROR(__xludf.DUMMYFUNCTION("JOIN("", "",FILTER(Team_Members[Person],MOD($A17+3,4)+1=Team_Members[Team_Number]))"),"Duncan, Leo, Logan")</f>
        <v>Duncan, Leo, Logan</v>
      </c>
    </row>
    <row r="18" ht="22.5" customHeight="1">
      <c r="A18" s="13">
        <f t="shared" si="1"/>
        <v>17</v>
      </c>
      <c r="B18" s="7">
        <f>IF(Jobs[ID]=1,DATE(2026,9,9),B17+7)</f>
        <v>46379</v>
      </c>
      <c r="C18" s="4" t="str">
        <f>IFERROR(__xludf.DUMMYFUNCTION("JOIN("", "",FILTER(Team_Members[Person],MOD($A18+2,4)+1=Team_Members[Team_Number]))"),"Duncan, Leo, Logan")</f>
        <v>Duncan, Leo, Logan</v>
      </c>
      <c r="D18" s="4" t="str">
        <f>IFERROR(__xludf.DUMMYFUNCTION("JOIN("", "",FILTER(Team_Members[Person],MOD($A18+1,4)+1=Team_Members[Team_Number]))"),"Annika, Avnish, Genevieve, Jude")</f>
        <v>Annika, Avnish, Genevieve, Jude</v>
      </c>
      <c r="E18" s="4" t="str">
        <f>IFERROR(__xludf.DUMMYFUNCTION("JOIN("", "",FILTER(Team_Members[Person],MOD($A18+0,4)+1=Team_Members[Team_Number]))"),"CJ, Juliet, Kathryhn, Wes")</f>
        <v>CJ, Juliet, Kathryhn, Wes</v>
      </c>
      <c r="F18" s="4" t="str">
        <f>IFERROR(__xludf.DUMMYFUNCTION("JOIN("", "",FILTER(Team_Members[Person],MOD($A18+3,4)+1=Team_Members[Team_Number]))"),"Archie, Desmond, Ilija, Matthew")</f>
        <v>Archie, Desmond, Ilija, Matthew</v>
      </c>
    </row>
    <row r="19" ht="22.5" customHeight="1">
      <c r="A19" s="13">
        <f t="shared" si="1"/>
        <v>18</v>
      </c>
      <c r="B19" s="7">
        <f>IF(Jobs[ID]=1,DATE(2026,9,9),B18+7)</f>
        <v>46386</v>
      </c>
      <c r="C19" s="4" t="str">
        <f>IFERROR(__xludf.DUMMYFUNCTION("JOIN("", "",FILTER(Team_Members[Person],MOD($A19+2,4)+1=Team_Members[Team_Number]))"),"Archie, Desmond, Ilija, Matthew")</f>
        <v>Archie, Desmond, Ilija, Matthew</v>
      </c>
      <c r="D19" s="4" t="str">
        <f>IFERROR(__xludf.DUMMYFUNCTION("JOIN("", "",FILTER(Team_Members[Person],MOD($A19+1,4)+1=Team_Members[Team_Number]))"),"Duncan, Leo, Logan")</f>
        <v>Duncan, Leo, Logan</v>
      </c>
      <c r="E19" s="4" t="str">
        <f>IFERROR(__xludf.DUMMYFUNCTION("JOIN("", "",FILTER(Team_Members[Person],MOD($A19+0,4)+1=Team_Members[Team_Number]))"),"Annika, Avnish, Genevieve, Jude")</f>
        <v>Annika, Avnish, Genevieve, Jude</v>
      </c>
      <c r="F19" s="4" t="str">
        <f>IFERROR(__xludf.DUMMYFUNCTION("JOIN("", "",FILTER(Team_Members[Person],MOD($A19+3,4)+1=Team_Members[Team_Number]))"),"CJ, Juliet, Kathryhn, Wes")</f>
        <v>CJ, Juliet, Kathryhn, Wes</v>
      </c>
    </row>
  </sheetData>
  <dataValidations>
    <dataValidation type="custom" allowBlank="1" showDropDown="1" sqref="B2:B19">
      <formula1>OR(NOT(ISERROR(DATEVALUE(B2))), AND(ISNUMBER(B2), LEFT(CELL("format", B2))="D"))</formula1>
    </dataValidation>
    <dataValidation type="custom" allowBlank="1" showDropDown="1" sqref="A2:A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75"/>
    <col customWidth="1" min="3" max="3" width="18.25"/>
    <col customWidth="1" min="4" max="4" width="17.75"/>
  </cols>
  <sheetData>
    <row r="1" ht="22.5" customHeight="1">
      <c r="A1" s="1" t="s">
        <v>1</v>
      </c>
      <c r="B1" s="1" t="s">
        <v>4</v>
      </c>
      <c r="C1" s="2" t="s">
        <v>7</v>
      </c>
      <c r="D1" s="2" t="s">
        <v>10</v>
      </c>
      <c r="E1" s="2" t="s">
        <v>12</v>
      </c>
      <c r="F1" s="2" t="s">
        <v>15</v>
      </c>
    </row>
    <row r="2" ht="22.5" customHeight="1">
      <c r="A2" s="3">
        <v>1.0</v>
      </c>
      <c r="B2" s="8" t="str">
        <f>IFERROR(__xludf.DUMMYFUNCTION("JOIN("", "",FILTER(Team_Members[Person],$A2=Team_Members[Team_Number]))"),"Archie, Desmond, Ilija, Matthew")</f>
        <v>Archie, Desmond, Ilija, Matthew</v>
      </c>
      <c r="C2" s="4">
        <f>COUNTIFS(Team_Members[Team_Number],$A2)</f>
        <v>4</v>
      </c>
      <c r="D2" s="9">
        <f>AVERAGEIFS(Team_Members[Rank],Team_Members[Team_Number],$A2)</f>
        <v>1.5</v>
      </c>
      <c r="E2" s="9">
        <f>MAXIFS(Team_Members[Rank],Team_Members[Team_Number],$A2)</f>
        <v>3</v>
      </c>
      <c r="F2" s="9">
        <f>MINIFS(Team_Members[Rank],Team_Members[Team_Number],$A2)</f>
        <v>0</v>
      </c>
    </row>
    <row r="3" ht="22.5" customHeight="1">
      <c r="A3" s="3">
        <v>2.0</v>
      </c>
      <c r="B3" s="8" t="str">
        <f>IFERROR(__xludf.DUMMYFUNCTION("JOIN("", "",FILTER(Team_Members[Person],$A3=Team_Members[Team_Number]))"),"CJ, Juliet, Kathryhn, Wes")</f>
        <v>CJ, Juliet, Kathryhn, Wes</v>
      </c>
      <c r="C3" s="4">
        <f>COUNTIFS(Team_Members[Team_Number],$A3)</f>
        <v>4</v>
      </c>
      <c r="D3" s="9">
        <f>AVERAGEIFS(Team_Members[Rank],Team_Members[Team_Number],$A3)</f>
        <v>2.25</v>
      </c>
      <c r="E3" s="4">
        <f>MAXIFS(Team_Members[Rank],Team_Members[Team_Number],$A3)</f>
        <v>3</v>
      </c>
      <c r="F3" s="4">
        <f>MINIFS(Team_Members[Rank],Team_Members[Team_Number],$A3)</f>
        <v>0</v>
      </c>
    </row>
    <row r="4" ht="22.5" customHeight="1">
      <c r="A4" s="3">
        <v>3.0</v>
      </c>
      <c r="B4" s="8" t="str">
        <f>IFERROR(__xludf.DUMMYFUNCTION("JOIN("", "",FILTER(Team_Members[Person],$A4=Team_Members[Team_Number]))"),"Annika, Avnish, Genevieve, Jude")</f>
        <v>Annika, Avnish, Genevieve, Jude</v>
      </c>
      <c r="C4" s="4">
        <f>COUNTIFS(Team_Members[Team_Number],$A4)</f>
        <v>4</v>
      </c>
      <c r="D4" s="9">
        <f>AVERAGEIFS(Team_Members[Rank],Team_Members[Team_Number],$A4)</f>
        <v>0.75</v>
      </c>
      <c r="E4" s="4">
        <f>MAXIFS(Team_Members[Rank],Team_Members[Team_Number],$A4)</f>
        <v>2</v>
      </c>
      <c r="F4" s="4">
        <f>MINIFS(Team_Members[Rank],Team_Members[Team_Number],$A4)</f>
        <v>0</v>
      </c>
    </row>
    <row r="5" ht="22.5" customHeight="1">
      <c r="A5" s="3">
        <v>4.0</v>
      </c>
      <c r="B5" s="8" t="str">
        <f>IFERROR(__xludf.DUMMYFUNCTION("JOIN("", "",FILTER(Team_Members[Person],$A5=Team_Members[Team_Number]))"),"Duncan, Leo, Logan")</f>
        <v>Duncan, Leo, Logan</v>
      </c>
      <c r="C5" s="4">
        <f>COUNTIFS(Team_Members[Team_Number],$A5)</f>
        <v>3</v>
      </c>
      <c r="D5" s="9">
        <f>AVERAGEIFS(Team_Members[Rank],Team_Members[Team_Number],$A5)</f>
        <v>1.333333333</v>
      </c>
      <c r="E5" s="4">
        <f>MAXIFS(Team_Members[Rank],Team_Members[Team_Number],$A5)</f>
        <v>2</v>
      </c>
      <c r="F5" s="4">
        <f>MINIFS(Team_Members[Rank],Team_Members[Team_Number],$A5)</f>
        <v>1</v>
      </c>
    </row>
  </sheetData>
  <dataValidations>
    <dataValidation type="custom" allowBlank="1" showDropDown="1" sqref="D2:D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75"/>
    <col customWidth="1" min="3" max="3" width="25.63"/>
  </cols>
  <sheetData>
    <row r="1" ht="22.5" customHeight="1">
      <c r="A1" s="1" t="s">
        <v>0</v>
      </c>
      <c r="B1" s="1" t="s">
        <v>2</v>
      </c>
      <c r="C1" s="2" t="s">
        <v>5</v>
      </c>
      <c r="D1" s="2" t="s">
        <v>9</v>
      </c>
    </row>
    <row r="2" ht="22.5" customHeight="1">
      <c r="A2" s="4">
        <f t="shared" ref="A2:A16" si="1">ROW()-1</f>
        <v>1</v>
      </c>
      <c r="B2" s="6" t="s">
        <v>18</v>
      </c>
      <c r="C2" s="6">
        <v>3.0</v>
      </c>
      <c r="D2" s="6">
        <v>0.0</v>
      </c>
    </row>
    <row r="3" ht="22.5" customHeight="1">
      <c r="A3" s="4">
        <f t="shared" si="1"/>
        <v>2</v>
      </c>
      <c r="B3" s="6" t="s">
        <v>19</v>
      </c>
      <c r="C3" s="6">
        <v>1.0</v>
      </c>
      <c r="D3" s="6">
        <v>1.0</v>
      </c>
    </row>
    <row r="4" ht="22.5" customHeight="1">
      <c r="A4" s="4">
        <f t="shared" si="1"/>
        <v>3</v>
      </c>
      <c r="B4" s="6" t="s">
        <v>20</v>
      </c>
      <c r="C4" s="6">
        <v>3.0</v>
      </c>
      <c r="D4" s="6">
        <v>0.0</v>
      </c>
    </row>
    <row r="5" ht="22.5" customHeight="1">
      <c r="A5" s="8">
        <f t="shared" si="1"/>
        <v>4</v>
      </c>
      <c r="B5" s="3" t="s">
        <v>21</v>
      </c>
      <c r="C5" s="6">
        <v>2.0</v>
      </c>
      <c r="D5" s="6">
        <v>3.0</v>
      </c>
    </row>
    <row r="6" ht="22.5" customHeight="1">
      <c r="A6" s="8">
        <f t="shared" si="1"/>
        <v>5</v>
      </c>
      <c r="B6" s="3" t="s">
        <v>22</v>
      </c>
      <c r="C6" s="6">
        <v>1.0</v>
      </c>
      <c r="D6" s="6">
        <v>2.0</v>
      </c>
    </row>
    <row r="7" ht="22.5" customHeight="1">
      <c r="A7" s="4">
        <f t="shared" si="1"/>
        <v>6</v>
      </c>
      <c r="B7" s="6" t="s">
        <v>23</v>
      </c>
      <c r="C7" s="6">
        <v>4.0</v>
      </c>
      <c r="D7" s="6">
        <v>1.0</v>
      </c>
    </row>
    <row r="8" ht="22.5" customHeight="1">
      <c r="A8" s="4">
        <f t="shared" si="1"/>
        <v>7</v>
      </c>
      <c r="B8" s="6" t="s">
        <v>24</v>
      </c>
      <c r="C8" s="6">
        <v>3.0</v>
      </c>
      <c r="D8" s="6">
        <v>1.0</v>
      </c>
    </row>
    <row r="9" ht="22.5" customHeight="1">
      <c r="A9" s="8">
        <f t="shared" si="1"/>
        <v>8</v>
      </c>
      <c r="B9" s="3" t="s">
        <v>25</v>
      </c>
      <c r="C9" s="6">
        <v>1.0</v>
      </c>
      <c r="D9" s="6">
        <v>3.0</v>
      </c>
    </row>
    <row r="10" ht="22.5" customHeight="1">
      <c r="A10" s="4">
        <f t="shared" si="1"/>
        <v>9</v>
      </c>
      <c r="B10" s="6" t="s">
        <v>26</v>
      </c>
      <c r="C10" s="6">
        <v>3.0</v>
      </c>
      <c r="D10" s="6">
        <v>2.0</v>
      </c>
    </row>
    <row r="11" ht="22.5" customHeight="1">
      <c r="A11" s="4">
        <f t="shared" si="1"/>
        <v>10</v>
      </c>
      <c r="B11" s="6" t="s">
        <v>27</v>
      </c>
      <c r="C11" s="6">
        <v>2.0</v>
      </c>
      <c r="D11" s="6">
        <v>0.0</v>
      </c>
    </row>
    <row r="12" ht="22.5" customHeight="1">
      <c r="A12" s="4">
        <f t="shared" si="1"/>
        <v>11</v>
      </c>
      <c r="B12" s="6" t="s">
        <v>28</v>
      </c>
      <c r="C12" s="6">
        <v>2.0</v>
      </c>
      <c r="D12" s="6">
        <v>3.0</v>
      </c>
    </row>
    <row r="13" ht="22.5" customHeight="1">
      <c r="A13" s="4">
        <f t="shared" si="1"/>
        <v>12</v>
      </c>
      <c r="B13" s="6" t="s">
        <v>29</v>
      </c>
      <c r="C13" s="6">
        <v>4.0</v>
      </c>
      <c r="D13" s="6">
        <v>1.0</v>
      </c>
    </row>
    <row r="14" ht="22.5" customHeight="1">
      <c r="A14" s="4">
        <f t="shared" si="1"/>
        <v>13</v>
      </c>
      <c r="B14" s="6" t="s">
        <v>30</v>
      </c>
      <c r="C14" s="6">
        <v>4.0</v>
      </c>
      <c r="D14" s="6">
        <v>2.0</v>
      </c>
    </row>
    <row r="15" ht="22.5" customHeight="1">
      <c r="A15" s="8">
        <f t="shared" si="1"/>
        <v>14</v>
      </c>
      <c r="B15" s="3" t="s">
        <v>31</v>
      </c>
      <c r="C15" s="6">
        <v>1.0</v>
      </c>
      <c r="D15" s="6">
        <v>0.0</v>
      </c>
    </row>
    <row r="16" ht="22.5" customHeight="1">
      <c r="A16" s="4">
        <f t="shared" si="1"/>
        <v>15</v>
      </c>
      <c r="B16" s="6" t="s">
        <v>32</v>
      </c>
      <c r="C16" s="6">
        <v>2.0</v>
      </c>
      <c r="D16" s="6">
        <v>3.0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25"/>
    <col customWidth="1" min="4" max="4" width="23.5"/>
    <col customWidth="1" min="5" max="5" width="21.88"/>
    <col customWidth="1" min="6" max="6" width="27.25"/>
    <col customWidth="1" min="7" max="7" width="15.63"/>
  </cols>
  <sheetData>
    <row r="1" ht="22.5" customHeight="1">
      <c r="A1" s="1" t="s">
        <v>0</v>
      </c>
      <c r="B1" s="1" t="s">
        <v>3</v>
      </c>
      <c r="C1" s="1" t="s">
        <v>6</v>
      </c>
      <c r="D1" s="1" t="s">
        <v>8</v>
      </c>
      <c r="E1" s="1" t="s">
        <v>11</v>
      </c>
      <c r="F1" s="1" t="s">
        <v>14</v>
      </c>
      <c r="G1" s="1" t="s">
        <v>16</v>
      </c>
    </row>
    <row r="2" ht="22.5" customHeight="1">
      <c r="A2" s="5">
        <f t="shared" ref="A2:A32" si="1">ROW()-1</f>
        <v>1</v>
      </c>
      <c r="B2" s="7">
        <v>46085.0</v>
      </c>
      <c r="C2" s="8" t="str">
        <f t="array" ref="C2">_xlfn.XLOOKUP(MOD($A2,4)+1,Table2[ID],Table2[Team])</f>
        <v>CJ, Katyhryn, Wes, Annika, Juliet</v>
      </c>
      <c r="D2" s="8" t="str">
        <f t="array" ref="D2">_xlfn.XLOOKUP(MOD($A2+1,4)+1,Table2[ID],Table2[Team])</f>
        <v>Daryl, Jude, Genevieve, Avnish, Annika</v>
      </c>
      <c r="E2" s="8" t="str">
        <f t="array" ref="E2">_xlfn.XLOOKUP(MOD($A2+2,4)+1,Table2[ID],Table2[Team])</f>
        <v>Abby, Malek, Logn, Duncan, Leo</v>
      </c>
      <c r="F2" s="8" t="str">
        <f t="array" ref="F2">_xlfn.XLOOKUP(MOD($A2+3,4)+1,Table2[ID],Table2[Team])</f>
        <v>Nate, Illija, Desmond, Matthew</v>
      </c>
    </row>
    <row r="3" ht="22.5" customHeight="1">
      <c r="A3" s="10">
        <f t="shared" si="1"/>
        <v>2</v>
      </c>
      <c r="B3" s="11">
        <f t="shared" ref="B3:B32" si="2">B2+7</f>
        <v>46092</v>
      </c>
      <c r="C3" s="12" t="str">
        <f t="array" ref="C3">_xlfn.XLOOKUP(MOD($A3,4)+1,Table2[ID],Table2[Team])</f>
        <v>Daryl, Jude, Genevieve, Avnish, Annika</v>
      </c>
      <c r="D3" s="12" t="str">
        <f t="array" ref="D3">_xlfn.XLOOKUP(MOD($A3+1,4)+1,Table2[ID],Table2[Team])</f>
        <v>Abby, Malek, Logn, Duncan, Leo</v>
      </c>
      <c r="E3" s="12" t="str">
        <f t="array" ref="E3">_xlfn.XLOOKUP(MOD($A3+2,4)+1,Table2[ID],Table2[Team])</f>
        <v>Nate, Illija, Desmond, Matthew</v>
      </c>
      <c r="F3" s="8" t="str">
        <f t="array" ref="F3">_xlfn.XLOOKUP(MOD($A3+3,4)+1,Table2[ID],Table2[Team])</f>
        <v>CJ, Katyhryn, Wes, Annika, Juliet</v>
      </c>
    </row>
    <row r="4" ht="22.5" customHeight="1">
      <c r="A4" s="10">
        <f t="shared" si="1"/>
        <v>3</v>
      </c>
      <c r="B4" s="11">
        <f t="shared" si="2"/>
        <v>46099</v>
      </c>
      <c r="C4" s="12" t="str">
        <f t="array" ref="C4">_xlfn.XLOOKUP(MOD($A4,4)+1,Table2[ID],Table2[Team])</f>
        <v>Abby, Malek, Logn, Duncan, Leo</v>
      </c>
      <c r="D4" s="12" t="str">
        <f t="array" ref="D4">_xlfn.XLOOKUP(MOD($A4+1,4)+1,Table2[ID],Table2[Team])</f>
        <v>Nate, Illija, Desmond, Matthew</v>
      </c>
      <c r="E4" s="12" t="str">
        <f t="array" ref="E4">_xlfn.XLOOKUP(MOD($A4+2,4)+1,Table2[ID],Table2[Team])</f>
        <v>CJ, Katyhryn, Wes, Annika, Juliet</v>
      </c>
      <c r="F4" s="12" t="str">
        <f t="array" ref="F4">_xlfn.XLOOKUP(MOD($A4+3,4)+1,Table2[ID],Table2[Team])</f>
        <v>Daryl, Jude, Genevieve, Avnish, Annika</v>
      </c>
    </row>
    <row r="5" ht="22.5" customHeight="1">
      <c r="A5" s="10">
        <f t="shared" si="1"/>
        <v>4</v>
      </c>
      <c r="B5" s="11">
        <f t="shared" si="2"/>
        <v>46106</v>
      </c>
      <c r="C5" s="12" t="str">
        <f t="array" ref="C5">_xlfn.XLOOKUP(MOD($A5,4)+1,Table2[ID],Table2[Team])</f>
        <v>Nate, Illija, Desmond, Matthew</v>
      </c>
      <c r="D5" s="12" t="str">
        <f t="array" ref="D5">_xlfn.XLOOKUP(MOD($A5+1,4)+1,Table2[ID],Table2[Team])</f>
        <v>CJ, Katyhryn, Wes, Annika, Juliet</v>
      </c>
      <c r="E5" s="12" t="str">
        <f t="array" ref="E5">_xlfn.XLOOKUP(MOD($A5+2,4)+1,Table2[ID],Table2[Team])</f>
        <v>Daryl, Jude, Genevieve, Avnish, Annika</v>
      </c>
      <c r="F5" s="12" t="str">
        <f t="array" ref="F5">_xlfn.XLOOKUP(MOD($A5+3,4)+1,Table2[ID],Table2[Team])</f>
        <v>Abby, Malek, Logn, Duncan, Leo</v>
      </c>
    </row>
    <row r="6" ht="22.5" customHeight="1">
      <c r="A6" s="10">
        <f t="shared" si="1"/>
        <v>5</v>
      </c>
      <c r="B6" s="11">
        <f t="shared" si="2"/>
        <v>46113</v>
      </c>
      <c r="C6" s="12" t="str">
        <f t="array" ref="C6">_xlfn.XLOOKUP(MOD($A6,4)+1,Table2[ID],Table2[Team])</f>
        <v>CJ, Katyhryn, Wes, Annika, Juliet</v>
      </c>
      <c r="D6" s="12" t="str">
        <f t="array" ref="D6">_xlfn.XLOOKUP(MOD($A6+1,4)+1,Table2[ID],Table2[Team])</f>
        <v>Daryl, Jude, Genevieve, Avnish, Annika</v>
      </c>
      <c r="E6" s="12" t="str">
        <f t="array" ref="E6">_xlfn.XLOOKUP(MOD($A6+2,4)+1,Table2[ID],Table2[Team])</f>
        <v>Abby, Malek, Logn, Duncan, Leo</v>
      </c>
      <c r="F6" s="12" t="str">
        <f t="array" ref="F6">_xlfn.XLOOKUP(MOD($A6+3,4)+1,Table2[ID],Table2[Team])</f>
        <v>Nate, Illija, Desmond, Matthew</v>
      </c>
    </row>
    <row r="7" ht="22.5" customHeight="1">
      <c r="A7" s="10">
        <f t="shared" si="1"/>
        <v>6</v>
      </c>
      <c r="B7" s="11">
        <f t="shared" si="2"/>
        <v>46120</v>
      </c>
      <c r="C7" s="12" t="str">
        <f t="array" ref="C7">_xlfn.XLOOKUP(MOD($A7,4)+1,Table2[ID],Table2[Team])</f>
        <v>Daryl, Jude, Genevieve, Avnish, Annika</v>
      </c>
      <c r="D7" s="12" t="str">
        <f t="array" ref="D7">_xlfn.XLOOKUP(MOD($A7+1,4)+1,Table2[ID],Table2[Team])</f>
        <v>Abby, Malek, Logn, Duncan, Leo</v>
      </c>
      <c r="E7" s="12" t="str">
        <f t="array" ref="E7">_xlfn.XLOOKUP(MOD($A7+2,4)+1,Table2[ID],Table2[Team])</f>
        <v>Nate, Illija, Desmond, Matthew</v>
      </c>
      <c r="F7" s="12" t="str">
        <f t="array" ref="F7">_xlfn.XLOOKUP(MOD($A7+3,4)+1,Table2[ID],Table2[Team])</f>
        <v>CJ, Katyhryn, Wes, Annika, Juliet</v>
      </c>
    </row>
    <row r="8" ht="22.5" customHeight="1">
      <c r="A8" s="10">
        <f t="shared" si="1"/>
        <v>7</v>
      </c>
      <c r="B8" s="11">
        <f t="shared" si="2"/>
        <v>46127</v>
      </c>
      <c r="C8" s="12" t="str">
        <f t="array" ref="C8">_xlfn.XLOOKUP(MOD($A8,4)+1,Table2[ID],Table2[Team])</f>
        <v>Abby, Malek, Logn, Duncan, Leo</v>
      </c>
      <c r="D8" s="12" t="str">
        <f t="array" ref="D8">_xlfn.XLOOKUP(MOD($A8+1,4)+1,Table2[ID],Table2[Team])</f>
        <v>Nate, Illija, Desmond, Matthew</v>
      </c>
      <c r="E8" s="12" t="str">
        <f t="array" ref="E8">_xlfn.XLOOKUP(MOD($A8+2,4)+1,Table2[ID],Table2[Team])</f>
        <v>CJ, Katyhryn, Wes, Annika, Juliet</v>
      </c>
      <c r="F8" s="12" t="str">
        <f t="array" ref="F8">_xlfn.XLOOKUP(MOD($A8+3,4)+1,Table2[ID],Table2[Team])</f>
        <v>Daryl, Jude, Genevieve, Avnish, Annika</v>
      </c>
    </row>
    <row r="9" ht="22.5" customHeight="1">
      <c r="A9" s="10">
        <f t="shared" si="1"/>
        <v>8</v>
      </c>
      <c r="B9" s="11">
        <f t="shared" si="2"/>
        <v>46134</v>
      </c>
      <c r="C9" s="12" t="str">
        <f t="array" ref="C9">_xlfn.XLOOKUP(MOD($A9,4)+1,Table2[ID],Table2[Team])</f>
        <v>Nate, Illija, Desmond, Matthew</v>
      </c>
      <c r="D9" s="12" t="str">
        <f t="array" ref="D9">_xlfn.XLOOKUP(MOD($A9+1,4)+1,Table2[ID],Table2[Team])</f>
        <v>CJ, Katyhryn, Wes, Annika, Juliet</v>
      </c>
      <c r="E9" s="12" t="str">
        <f t="array" ref="E9">_xlfn.XLOOKUP(MOD($A9+2,4)+1,Table2[ID],Table2[Team])</f>
        <v>Daryl, Jude, Genevieve, Avnish, Annika</v>
      </c>
      <c r="F9" s="12" t="str">
        <f t="array" ref="F9">_xlfn.XLOOKUP(MOD($A9+3,4)+1,Table2[ID],Table2[Team])</f>
        <v>Abby, Malek, Logn, Duncan, Leo</v>
      </c>
    </row>
    <row r="10" ht="22.5" customHeight="1">
      <c r="A10" s="10">
        <f t="shared" si="1"/>
        <v>9</v>
      </c>
      <c r="B10" s="11">
        <f t="shared" si="2"/>
        <v>46141</v>
      </c>
      <c r="C10" s="12" t="str">
        <f t="array" ref="C10">_xlfn.XLOOKUP(MOD($A10,4)+1,Table2[ID],Table2[Team])</f>
        <v>CJ, Katyhryn, Wes, Annika, Juliet</v>
      </c>
      <c r="D10" s="12" t="str">
        <f t="array" ref="D10">_xlfn.XLOOKUP(MOD($A10+1,4)+1,Table2[ID],Table2[Team])</f>
        <v>Daryl, Jude, Genevieve, Avnish, Annika</v>
      </c>
      <c r="E10" s="12" t="str">
        <f t="array" ref="E10">_xlfn.XLOOKUP(MOD($A10+2,4)+1,Table2[ID],Table2[Team])</f>
        <v>Abby, Malek, Logn, Duncan, Leo</v>
      </c>
      <c r="F10" s="12" t="str">
        <f t="array" ref="F10">_xlfn.XLOOKUP(MOD($A10+3,4)+1,Table2[ID],Table2[Team])</f>
        <v>Nate, Illija, Desmond, Matthew</v>
      </c>
    </row>
    <row r="11" ht="22.5" customHeight="1">
      <c r="A11" s="10">
        <f t="shared" si="1"/>
        <v>10</v>
      </c>
      <c r="B11" s="11">
        <f t="shared" si="2"/>
        <v>46148</v>
      </c>
      <c r="C11" s="12" t="str">
        <f t="array" ref="C11">_xlfn.XLOOKUP(MOD($A11,4)+1,Table2[ID],Table2[Team])</f>
        <v>Daryl, Jude, Genevieve, Avnish, Annika</v>
      </c>
      <c r="D11" s="12" t="str">
        <f t="array" ref="D11">_xlfn.XLOOKUP(MOD($A11+1,4)+1,Table2[ID],Table2[Team])</f>
        <v>Abby, Malek, Logn, Duncan, Leo</v>
      </c>
      <c r="E11" s="12" t="str">
        <f t="array" ref="E11">_xlfn.XLOOKUP(MOD($A11+2,4)+1,Table2[ID],Table2[Team])</f>
        <v>Nate, Illija, Desmond, Matthew</v>
      </c>
      <c r="F11" s="12" t="str">
        <f t="array" ref="F11">_xlfn.XLOOKUP(MOD($A11+3,4)+1,Table2[ID],Table2[Team])</f>
        <v>CJ, Katyhryn, Wes, Annika, Juliet</v>
      </c>
    </row>
    <row r="12" ht="22.5" customHeight="1">
      <c r="A12" s="10">
        <f t="shared" si="1"/>
        <v>11</v>
      </c>
      <c r="B12" s="11">
        <f t="shared" si="2"/>
        <v>46155</v>
      </c>
      <c r="C12" s="12" t="str">
        <f t="array" ref="C12">_xlfn.XLOOKUP(MOD($A12,4)+1,Table2[ID],Table2[Team])</f>
        <v>Abby, Malek, Logn, Duncan, Leo</v>
      </c>
      <c r="D12" s="12" t="str">
        <f t="array" ref="D12">_xlfn.XLOOKUP(MOD($A12+1,4)+1,Table2[ID],Table2[Team])</f>
        <v>Nate, Illija, Desmond, Matthew</v>
      </c>
      <c r="E12" s="12" t="str">
        <f t="array" ref="E12">_xlfn.XLOOKUP(MOD($A12+2,4)+1,Table2[ID],Table2[Team])</f>
        <v>CJ, Katyhryn, Wes, Annika, Juliet</v>
      </c>
      <c r="F12" s="12" t="str">
        <f t="array" ref="F12">_xlfn.XLOOKUP(MOD($A12+3,4)+1,Table2[ID],Table2[Team])</f>
        <v>Daryl, Jude, Genevieve, Avnish, Annika</v>
      </c>
    </row>
    <row r="13" ht="22.5" customHeight="1">
      <c r="A13" s="10">
        <f t="shared" si="1"/>
        <v>12</v>
      </c>
      <c r="B13" s="11">
        <f t="shared" si="2"/>
        <v>46162</v>
      </c>
      <c r="C13" s="12" t="str">
        <f t="array" ref="C13">_xlfn.XLOOKUP(MOD($A13,4)+1,Table2[ID],Table2[Team])</f>
        <v>Nate, Illija, Desmond, Matthew</v>
      </c>
      <c r="D13" s="12" t="str">
        <f t="array" ref="D13">_xlfn.XLOOKUP(MOD($A13+1,4)+1,Table2[ID],Table2[Team])</f>
        <v>CJ, Katyhryn, Wes, Annika, Juliet</v>
      </c>
      <c r="E13" s="12" t="str">
        <f t="array" ref="E13">_xlfn.XLOOKUP(MOD($A13+2,4)+1,Table2[ID],Table2[Team])</f>
        <v>Daryl, Jude, Genevieve, Avnish, Annika</v>
      </c>
      <c r="F13" s="12" t="str">
        <f t="array" ref="F13">_xlfn.XLOOKUP(MOD($A13+3,4)+1,Table2[ID],Table2[Team])</f>
        <v>Abby, Malek, Logn, Duncan, Leo</v>
      </c>
    </row>
    <row r="14" ht="22.5" customHeight="1">
      <c r="A14" s="10">
        <f t="shared" si="1"/>
        <v>13</v>
      </c>
      <c r="B14" s="11">
        <f t="shared" si="2"/>
        <v>46169</v>
      </c>
      <c r="C14" s="12" t="str">
        <f t="array" ref="C14">_xlfn.XLOOKUP(MOD($A14,4)+1,Table2[ID],Table2[Team])</f>
        <v>CJ, Katyhryn, Wes, Annika, Juliet</v>
      </c>
      <c r="D14" s="12" t="str">
        <f t="array" ref="D14">_xlfn.XLOOKUP(MOD($A14+1,4)+1,Table2[ID],Table2[Team])</f>
        <v>Daryl, Jude, Genevieve, Avnish, Annika</v>
      </c>
      <c r="E14" s="12" t="str">
        <f t="array" ref="E14">_xlfn.XLOOKUP(MOD($A14+2,4)+1,Table2[ID],Table2[Team])</f>
        <v>Abby, Malek, Logn, Duncan, Leo</v>
      </c>
      <c r="F14" s="12" t="str">
        <f t="array" ref="F14">_xlfn.XLOOKUP(MOD($A14+3,4)+1,Table2[ID],Table2[Team])</f>
        <v>Nate, Illija, Desmond, Matthew</v>
      </c>
    </row>
    <row r="15" ht="22.5" customHeight="1">
      <c r="A15" s="10">
        <f t="shared" si="1"/>
        <v>14</v>
      </c>
      <c r="B15" s="11">
        <f t="shared" si="2"/>
        <v>46176</v>
      </c>
      <c r="C15" s="12" t="str">
        <f t="array" ref="C15">_xlfn.XLOOKUP(MOD($A15,4)+1,Table2[ID],Table2[Team])</f>
        <v>Daryl, Jude, Genevieve, Avnish, Annika</v>
      </c>
      <c r="D15" s="12" t="str">
        <f t="array" ref="D15">_xlfn.XLOOKUP(MOD($A15+1,4)+1,Table2[ID],Table2[Team])</f>
        <v>Abby, Malek, Logn, Duncan, Leo</v>
      </c>
      <c r="E15" s="12" t="str">
        <f t="array" ref="E15">_xlfn.XLOOKUP(MOD($A15+2,4)+1,Table2[ID],Table2[Team])</f>
        <v>Nate, Illija, Desmond, Matthew</v>
      </c>
      <c r="F15" s="12" t="str">
        <f t="array" ref="F15">_xlfn.XLOOKUP(MOD($A15+3,4)+1,Table2[ID],Table2[Team])</f>
        <v>CJ, Katyhryn, Wes, Annika, Juliet</v>
      </c>
    </row>
    <row r="16" ht="22.5" customHeight="1">
      <c r="A16" s="10">
        <f t="shared" si="1"/>
        <v>15</v>
      </c>
      <c r="B16" s="11">
        <f t="shared" si="2"/>
        <v>46183</v>
      </c>
      <c r="C16" s="12" t="str">
        <f t="array" ref="C16">_xlfn.XLOOKUP(MOD($A16,4)+1,Table2[ID],Table2[Team])</f>
        <v>Abby, Malek, Logn, Duncan, Leo</v>
      </c>
      <c r="D16" s="12" t="str">
        <f t="array" ref="D16">_xlfn.XLOOKUP(MOD($A16+1,4)+1,Table2[ID],Table2[Team])</f>
        <v>Nate, Illija, Desmond, Matthew</v>
      </c>
      <c r="E16" s="12" t="str">
        <f t="array" ref="E16">_xlfn.XLOOKUP(MOD($A16+2,4)+1,Table2[ID],Table2[Team])</f>
        <v>CJ, Katyhryn, Wes, Annika, Juliet</v>
      </c>
      <c r="F16" s="12" t="str">
        <f t="array" ref="F16">_xlfn.XLOOKUP(MOD($A16+3,4)+1,Table2[ID],Table2[Team])</f>
        <v>Daryl, Jude, Genevieve, Avnish, Annika</v>
      </c>
    </row>
    <row r="17" ht="22.5" customHeight="1">
      <c r="A17" s="10">
        <f t="shared" si="1"/>
        <v>16</v>
      </c>
      <c r="B17" s="11">
        <f t="shared" si="2"/>
        <v>46190</v>
      </c>
      <c r="C17" s="12" t="str">
        <f t="array" ref="C17">_xlfn.XLOOKUP(MOD($A17,4)+1,Table2[ID],Table2[Team])</f>
        <v>Nate, Illija, Desmond, Matthew</v>
      </c>
      <c r="D17" s="12" t="str">
        <f t="array" ref="D17">_xlfn.XLOOKUP(MOD($A17+1,4)+1,Table2[ID],Table2[Team])</f>
        <v>CJ, Katyhryn, Wes, Annika, Juliet</v>
      </c>
      <c r="E17" s="12" t="str">
        <f t="array" ref="E17">_xlfn.XLOOKUP(MOD($A17+2,4)+1,Table2[ID],Table2[Team])</f>
        <v>Daryl, Jude, Genevieve, Avnish, Annika</v>
      </c>
      <c r="F17" s="12" t="str">
        <f t="array" ref="F17">_xlfn.XLOOKUP(MOD($A17+3,4)+1,Table2[ID],Table2[Team])</f>
        <v>Abby, Malek, Logn, Duncan, Leo</v>
      </c>
    </row>
    <row r="18" ht="22.5" customHeight="1">
      <c r="A18" s="10">
        <f t="shared" si="1"/>
        <v>17</v>
      </c>
      <c r="B18" s="11">
        <f t="shared" si="2"/>
        <v>46197</v>
      </c>
      <c r="C18" s="12" t="str">
        <f t="array" ref="C18">_xlfn.XLOOKUP(MOD($A18,4)+1,Table2[ID],Table2[Team])</f>
        <v>CJ, Katyhryn, Wes, Annika, Juliet</v>
      </c>
      <c r="D18" s="12" t="str">
        <f t="array" ref="D18">_xlfn.XLOOKUP(MOD($A18+1,4)+1,Table2[ID],Table2[Team])</f>
        <v>Daryl, Jude, Genevieve, Avnish, Annika</v>
      </c>
      <c r="E18" s="12" t="str">
        <f t="array" ref="E18">_xlfn.XLOOKUP(MOD($A18+2,4)+1,Table2[ID],Table2[Team])</f>
        <v>Abby, Malek, Logn, Duncan, Leo</v>
      </c>
      <c r="F18" s="12" t="str">
        <f t="array" ref="F18">_xlfn.XLOOKUP(MOD($A18+3,4)+1,Table2[ID],Table2[Team])</f>
        <v>Nate, Illija, Desmond, Matthew</v>
      </c>
    </row>
    <row r="19" ht="22.5" customHeight="1">
      <c r="A19" s="10">
        <f t="shared" si="1"/>
        <v>18</v>
      </c>
      <c r="B19" s="11">
        <f t="shared" si="2"/>
        <v>46204</v>
      </c>
      <c r="C19" s="12" t="str">
        <f t="array" ref="C19">_xlfn.XLOOKUP(MOD($A19,4)+1,Table2[ID],Table2[Team])</f>
        <v>Daryl, Jude, Genevieve, Avnish, Annika</v>
      </c>
      <c r="D19" s="12" t="str">
        <f t="array" ref="D19">_xlfn.XLOOKUP(MOD($A19+1,4)+1,Table2[ID],Table2[Team])</f>
        <v>Abby, Malek, Logn, Duncan, Leo</v>
      </c>
      <c r="E19" s="12" t="str">
        <f t="array" ref="E19">_xlfn.XLOOKUP(MOD($A19+2,4)+1,Table2[ID],Table2[Team])</f>
        <v>Nate, Illija, Desmond, Matthew</v>
      </c>
      <c r="F19" s="12" t="str">
        <f t="array" ref="F19">_xlfn.XLOOKUP(MOD($A19+3,4)+1,Table2[ID],Table2[Team])</f>
        <v>CJ, Katyhryn, Wes, Annika, Juliet</v>
      </c>
    </row>
    <row r="20" ht="22.5" customHeight="1">
      <c r="A20" s="10">
        <f t="shared" si="1"/>
        <v>19</v>
      </c>
      <c r="B20" s="11">
        <f t="shared" si="2"/>
        <v>46211</v>
      </c>
      <c r="C20" s="12" t="str">
        <f t="array" ref="C20">_xlfn.XLOOKUP(MOD($A20,4)+1,Table2[ID],Table2[Team])</f>
        <v>Abby, Malek, Logn, Duncan, Leo</v>
      </c>
      <c r="D20" s="12" t="str">
        <f t="array" ref="D20">_xlfn.XLOOKUP(MOD($A20+1,4)+1,Table2[ID],Table2[Team])</f>
        <v>Nate, Illija, Desmond, Matthew</v>
      </c>
      <c r="E20" s="12" t="str">
        <f t="array" ref="E20">_xlfn.XLOOKUP(MOD($A20+2,4)+1,Table2[ID],Table2[Team])</f>
        <v>CJ, Katyhryn, Wes, Annika, Juliet</v>
      </c>
      <c r="F20" s="12" t="str">
        <f t="array" ref="F20">_xlfn.XLOOKUP(MOD($A20+3,4)+1,Table2[ID],Table2[Team])</f>
        <v>Daryl, Jude, Genevieve, Avnish, Annika</v>
      </c>
    </row>
    <row r="21" ht="22.5" customHeight="1">
      <c r="A21" s="10">
        <f t="shared" si="1"/>
        <v>20</v>
      </c>
      <c r="B21" s="11">
        <f t="shared" si="2"/>
        <v>46218</v>
      </c>
      <c r="C21" s="12" t="str">
        <f t="array" ref="C21">_xlfn.XLOOKUP(MOD($A21,4)+1,Table2[ID],Table2[Team])</f>
        <v>Nate, Illija, Desmond, Matthew</v>
      </c>
      <c r="D21" s="12" t="str">
        <f t="array" ref="D21">_xlfn.XLOOKUP(MOD($A21+1,4)+1,Table2[ID],Table2[Team])</f>
        <v>CJ, Katyhryn, Wes, Annika, Juliet</v>
      </c>
      <c r="E21" s="12" t="str">
        <f t="array" ref="E21">_xlfn.XLOOKUP(MOD($A21+2,4)+1,Table2[ID],Table2[Team])</f>
        <v>Daryl, Jude, Genevieve, Avnish, Annika</v>
      </c>
      <c r="F21" s="12" t="str">
        <f t="array" ref="F21">_xlfn.XLOOKUP(MOD($A21+3,4)+1,Table2[ID],Table2[Team])</f>
        <v>Abby, Malek, Logn, Duncan, Leo</v>
      </c>
    </row>
    <row r="22" ht="22.5" customHeight="1">
      <c r="A22" s="10">
        <f t="shared" si="1"/>
        <v>21</v>
      </c>
      <c r="B22" s="11">
        <f t="shared" si="2"/>
        <v>46225</v>
      </c>
      <c r="C22" s="12" t="str">
        <f t="array" ref="C22">_xlfn.XLOOKUP(MOD($A22,4)+1,Table2[ID],Table2[Team])</f>
        <v>CJ, Katyhryn, Wes, Annika, Juliet</v>
      </c>
      <c r="D22" s="12" t="str">
        <f t="array" ref="D22">_xlfn.XLOOKUP(MOD($A22+1,4)+1,Table2[ID],Table2[Team])</f>
        <v>Daryl, Jude, Genevieve, Avnish, Annika</v>
      </c>
      <c r="E22" s="12" t="str">
        <f t="array" ref="E22">_xlfn.XLOOKUP(MOD($A22+2,4)+1,Table2[ID],Table2[Team])</f>
        <v>Abby, Malek, Logn, Duncan, Leo</v>
      </c>
      <c r="F22" s="12" t="str">
        <f t="array" ref="F22">_xlfn.XLOOKUP(MOD($A22+3,4)+1,Table2[ID],Table2[Team])</f>
        <v>Nate, Illija, Desmond, Matthew</v>
      </c>
    </row>
    <row r="23" ht="22.5" customHeight="1">
      <c r="A23" s="10">
        <f t="shared" si="1"/>
        <v>22</v>
      </c>
      <c r="B23" s="11">
        <f t="shared" si="2"/>
        <v>46232</v>
      </c>
      <c r="C23" s="12" t="str">
        <f t="array" ref="C23">_xlfn.XLOOKUP(MOD($B26,4)+1,Table2[ID],Table2[Team])</f>
        <v>CJ, Katyhryn, Wes, Annika, Juliet</v>
      </c>
      <c r="D23" s="12" t="str">
        <f t="array" ref="D23">_xlfn.XLOOKUP(MOD($B26+1,4)+1,Table2[ID],Table2[Team])</f>
        <v>Daryl, Jude, Genevieve, Avnish, Annika</v>
      </c>
      <c r="E23" s="12" t="str">
        <f t="array" ref="E23">_xlfn.XLOOKUP(MOD($B26+2,4)+1,Table2[ID],Table2[Team])</f>
        <v>Abby, Malek, Logn, Duncan, Leo</v>
      </c>
      <c r="F23" s="12" t="str">
        <f t="array" ref="F23">_xlfn.XLOOKUP(MOD($B26+3,4)+1,Table2[ID],Table2[Team])</f>
        <v>Nate, Illija, Desmond, Matthew</v>
      </c>
    </row>
    <row r="24" ht="22.5" customHeight="1">
      <c r="A24" s="10">
        <f t="shared" si="1"/>
        <v>23</v>
      </c>
      <c r="B24" s="11">
        <f t="shared" si="2"/>
        <v>46239</v>
      </c>
      <c r="C24" s="12" t="str">
        <f t="array" ref="C24">_xlfn.XLOOKUP(MOD($A24,4)+1,Table2[ID],Table2[Team])</f>
        <v>Abby, Malek, Logn, Duncan, Leo</v>
      </c>
      <c r="D24" s="12" t="str">
        <f t="array" ref="D24">_xlfn.XLOOKUP(MOD($A24+1,4)+1,Table2[ID],Table2[Team])</f>
        <v>Nate, Illija, Desmond, Matthew</v>
      </c>
      <c r="E24" s="12" t="str">
        <f t="array" ref="E24">_xlfn.XLOOKUP(MOD($A24+2,4)+1,Table2[ID],Table2[Team])</f>
        <v>CJ, Katyhryn, Wes, Annika, Juliet</v>
      </c>
      <c r="F24" s="12" t="str">
        <f t="array" ref="F24">_xlfn.XLOOKUP(MOD($A24+3,4)+1,Table2[ID],Table2[Team])</f>
        <v>Daryl, Jude, Genevieve, Avnish, Annika</v>
      </c>
    </row>
    <row r="25" ht="22.5" customHeight="1">
      <c r="A25" s="10">
        <f t="shared" si="1"/>
        <v>24</v>
      </c>
      <c r="B25" s="11">
        <f t="shared" si="2"/>
        <v>46246</v>
      </c>
      <c r="C25" s="12" t="str">
        <f t="array" ref="C25">_xlfn.XLOOKUP(MOD($A25,4)+1,Table2[ID],Table2[Team])</f>
        <v>Nate, Illija, Desmond, Matthew</v>
      </c>
      <c r="D25" s="12" t="str">
        <f t="array" ref="D25">_xlfn.XLOOKUP(MOD($A25+1,4)+1,Table2[ID],Table2[Team])</f>
        <v>CJ, Katyhryn, Wes, Annika, Juliet</v>
      </c>
      <c r="E25" s="12" t="str">
        <f t="array" ref="E25">_xlfn.XLOOKUP(MOD($A25+2,4)+1,Table2[ID],Table2[Team])</f>
        <v>Daryl, Jude, Genevieve, Avnish, Annika</v>
      </c>
      <c r="F25" s="12" t="str">
        <f t="array" ref="F25">_xlfn.XLOOKUP(MOD($A25+3,4)+1,Table2[ID],Table2[Team])</f>
        <v>Abby, Malek, Logn, Duncan, Leo</v>
      </c>
    </row>
    <row r="26" ht="22.5" customHeight="1">
      <c r="A26" s="10">
        <f t="shared" si="1"/>
        <v>25</v>
      </c>
      <c r="B26" s="11">
        <f t="shared" si="2"/>
        <v>46253</v>
      </c>
      <c r="C26" s="12" t="str">
        <f t="array" ref="C26">_xlfn.XLOOKUP(MOD($A26,4)+1,Table2[ID],Table2[Team])</f>
        <v>CJ, Katyhryn, Wes, Annika, Juliet</v>
      </c>
      <c r="D26" s="12" t="str">
        <f t="array" ref="D26">_xlfn.XLOOKUP(MOD($A26+1,4)+1,Table2[ID],Table2[Team])</f>
        <v>Daryl, Jude, Genevieve, Avnish, Annika</v>
      </c>
      <c r="E26" s="12" t="str">
        <f t="array" ref="E26">_xlfn.XLOOKUP(MOD($A26+2,4)+1,Table2[ID],Table2[Team])</f>
        <v>Abby, Malek, Logn, Duncan, Leo</v>
      </c>
      <c r="F26" s="12" t="str">
        <f t="array" ref="F26">_xlfn.XLOOKUP(MOD($A26+3,4)+1,Table2[ID],Table2[Team])</f>
        <v>Nate, Illija, Desmond, Matthew</v>
      </c>
    </row>
    <row r="27" ht="22.5" customHeight="1">
      <c r="A27" s="10">
        <f t="shared" si="1"/>
        <v>26</v>
      </c>
      <c r="B27" s="11">
        <f t="shared" si="2"/>
        <v>46260</v>
      </c>
      <c r="C27" s="12" t="str">
        <f t="array" ref="C27">_xlfn.XLOOKUP(MOD($A27,4)+1,Table2[ID],Table2[Team])</f>
        <v>Daryl, Jude, Genevieve, Avnish, Annika</v>
      </c>
      <c r="D27" s="12" t="str">
        <f t="array" ref="D27">_xlfn.XLOOKUP(MOD($A27+1,4)+1,Table2[ID],Table2[Team])</f>
        <v>Abby, Malek, Logn, Duncan, Leo</v>
      </c>
      <c r="E27" s="12" t="str">
        <f t="array" ref="E27">_xlfn.XLOOKUP(MOD($A27+2,4)+1,Table2[ID],Table2[Team])</f>
        <v>Nate, Illija, Desmond, Matthew</v>
      </c>
      <c r="F27" s="12" t="str">
        <f t="array" ref="F27">_xlfn.XLOOKUP(MOD($A27+3,4)+1,Table2[ID],Table2[Team])</f>
        <v>CJ, Katyhryn, Wes, Annika, Juliet</v>
      </c>
    </row>
    <row r="28" ht="22.5" customHeight="1">
      <c r="A28" s="10">
        <f t="shared" si="1"/>
        <v>27</v>
      </c>
      <c r="B28" s="11">
        <f t="shared" si="2"/>
        <v>46267</v>
      </c>
      <c r="C28" s="14" t="str">
        <f t="array" ref="C28">_xlfn.XLOOKUP(MOD($A28,4)+1,Table2[ID],Table2[Team])</f>
        <v>Abby, Malek, Logn, Duncan, Leo</v>
      </c>
      <c r="D28" s="14" t="str">
        <f t="array" ref="D28">_xlfn.XLOOKUP(MOD($A28+1,4)+1,Table2[ID],Table2[Team])</f>
        <v>Nate, Illija, Desmond, Matthew</v>
      </c>
      <c r="E28" s="14" t="str">
        <f t="array" ref="E28">_xlfn.XLOOKUP(MOD($A28+2,4)+1,Table2[ID],Table2[Team])</f>
        <v>CJ, Katyhryn, Wes, Annika, Juliet</v>
      </c>
      <c r="F28" s="14" t="str">
        <f t="array" ref="F28">_xlfn.XLOOKUP(MOD($A28+3,4)+1,Table2[ID],Table2[Team])</f>
        <v>Daryl, Jude, Genevieve, Avnish, Annika</v>
      </c>
      <c r="G28" s="4"/>
    </row>
    <row r="29" ht="22.5" customHeight="1">
      <c r="A29" s="10">
        <f t="shared" si="1"/>
        <v>28</v>
      </c>
      <c r="B29" s="11">
        <f t="shared" si="2"/>
        <v>46274</v>
      </c>
      <c r="C29" s="14" t="str">
        <f t="array" ref="C29">_xlfn.XLOOKUP(MOD($A29,4)+1,Table2[ID],Table2[Team])</f>
        <v>Nate, Illija, Desmond, Matthew</v>
      </c>
      <c r="D29" s="14" t="str">
        <f t="array" ref="D29">_xlfn.XLOOKUP(MOD($A29+1,4)+1,Table2[ID],Table2[Team])</f>
        <v>CJ, Katyhryn, Wes, Annika, Juliet</v>
      </c>
      <c r="E29" s="14" t="str">
        <f t="array" ref="E29">_xlfn.XLOOKUP(MOD($A29+2,4)+1,Table2[ID],Table2[Team])</f>
        <v>Daryl, Jude, Genevieve, Avnish, Annika</v>
      </c>
      <c r="F29" s="14" t="str">
        <f t="array" ref="F29">_xlfn.XLOOKUP(MOD($A29+3,4)+1,Table2[ID],Table2[Team])</f>
        <v>Abby, Malek, Logn, Duncan, Leo</v>
      </c>
      <c r="G29" s="4"/>
    </row>
    <row r="30" ht="22.5" customHeight="1">
      <c r="A30" s="10">
        <f t="shared" si="1"/>
        <v>29</v>
      </c>
      <c r="B30" s="11">
        <f t="shared" si="2"/>
        <v>46281</v>
      </c>
      <c r="C30" s="14" t="str">
        <f t="array" ref="C30">_xlfn.XLOOKUP(MOD($A30,4)+1,Table2[ID],Table2[Team])</f>
        <v>CJ, Katyhryn, Wes, Annika, Juliet</v>
      </c>
      <c r="D30" s="14" t="str">
        <f t="array" ref="D30">_xlfn.XLOOKUP(MOD($A30+1,4)+1,Table2[ID],Table2[Team])</f>
        <v>Daryl, Jude, Genevieve, Avnish, Annika</v>
      </c>
      <c r="E30" s="14" t="str">
        <f t="array" ref="E30">_xlfn.XLOOKUP(MOD($A30+2,4)+1,Table2[ID],Table2[Team])</f>
        <v>Abby, Malek, Logn, Duncan, Leo</v>
      </c>
      <c r="F30" s="14" t="str">
        <f t="array" ref="F30">_xlfn.XLOOKUP(MOD($A30+3,4)+1,Table2[ID],Table2[Team])</f>
        <v>Nate, Illija, Desmond, Matthew</v>
      </c>
      <c r="G30" s="4"/>
    </row>
    <row r="31" ht="22.5" customHeight="1">
      <c r="A31" s="10">
        <f t="shared" si="1"/>
        <v>30</v>
      </c>
      <c r="B31" s="11">
        <f t="shared" si="2"/>
        <v>46288</v>
      </c>
      <c r="C31" s="14" t="str">
        <f t="array" ref="C31">_xlfn.XLOOKUP(MOD($A31,4)+1,Table2[ID],Table2[Team])</f>
        <v>Daryl, Jude, Genevieve, Avnish, Annika</v>
      </c>
      <c r="D31" s="14" t="str">
        <f t="array" ref="D31">_xlfn.XLOOKUP(MOD($A31+1,4)+1,Table2[ID],Table2[Team])</f>
        <v>Abby, Malek, Logn, Duncan, Leo</v>
      </c>
      <c r="E31" s="14" t="str">
        <f t="array" ref="E31">_xlfn.XLOOKUP(MOD($A31+2,4)+1,Table2[ID],Table2[Team])</f>
        <v>Nate, Illija, Desmond, Matthew</v>
      </c>
      <c r="F31" s="14" t="str">
        <f t="array" ref="F31">_xlfn.XLOOKUP(MOD($A31+3,4)+1,Table2[ID],Table2[Team])</f>
        <v>CJ, Katyhryn, Wes, Annika, Juliet</v>
      </c>
      <c r="G31" s="4"/>
    </row>
    <row r="32" ht="22.5" customHeight="1">
      <c r="A32" s="10">
        <f t="shared" si="1"/>
        <v>31</v>
      </c>
      <c r="B32" s="11">
        <f t="shared" si="2"/>
        <v>46295</v>
      </c>
      <c r="C32" s="14" t="str">
        <f t="array" ref="C32">_xlfn.XLOOKUP(MOD($A32,4)+1,Table2[ID],Table2[Team])</f>
        <v>Abby, Malek, Logn, Duncan, Leo</v>
      </c>
      <c r="D32" s="14" t="str">
        <f t="array" ref="D32">_xlfn.XLOOKUP(MOD($A32+1,4)+1,Table2[ID],Table2[Team])</f>
        <v>Nate, Illija, Desmond, Matthew</v>
      </c>
      <c r="E32" s="14" t="str">
        <f t="array" ref="E32">_xlfn.XLOOKUP(MOD($A32+2,4)+1,Table2[ID],Table2[Team])</f>
        <v>CJ, Katyhryn, Wes, Annika, Juliet</v>
      </c>
      <c r="F32" s="14" t="str">
        <f t="array" ref="F32">_xlfn.XLOOKUP(MOD($A32+3,4)+1,Table2[ID],Table2[Team])</f>
        <v>Daryl, Jude, Genevieve, Avnish, Annika</v>
      </c>
      <c r="G32" s="4"/>
    </row>
  </sheetData>
  <dataValidations>
    <dataValidation type="custom" allowBlank="1" showDropDown="1" sqref="B2:B32">
      <formula1>OR(NOT(ISERROR(DATEVALUE(B2))), AND(ISNUMBER(B2), LEFT(CELL("format", B2))="D"))</formula1>
    </dataValidation>
    <dataValidation type="custom" allowBlank="1" showDropDown="1" sqref="A2:A3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</cols>
  <sheetData>
    <row r="1" ht="22.5" customHeight="1">
      <c r="A1" s="1" t="s">
        <v>0</v>
      </c>
      <c r="B1" s="1" t="s">
        <v>1</v>
      </c>
    </row>
    <row r="2" ht="22.5" customHeight="1">
      <c r="A2" s="8">
        <f t="shared" ref="A2:A5" si="1">ROW()-1</f>
        <v>1</v>
      </c>
      <c r="B2" s="3" t="s">
        <v>33</v>
      </c>
    </row>
    <row r="3" ht="22.5" customHeight="1">
      <c r="A3" s="8">
        <f t="shared" si="1"/>
        <v>2</v>
      </c>
      <c r="B3" s="3" t="s">
        <v>34</v>
      </c>
    </row>
    <row r="4" ht="22.5" customHeight="1">
      <c r="A4" s="8">
        <f t="shared" si="1"/>
        <v>3</v>
      </c>
      <c r="B4" s="3" t="s">
        <v>35</v>
      </c>
    </row>
    <row r="5" ht="22.5" customHeight="1">
      <c r="A5" s="8">
        <f t="shared" si="1"/>
        <v>4</v>
      </c>
      <c r="B5" s="3" t="s">
        <v>36</v>
      </c>
    </row>
  </sheetData>
  <drawing r:id="rId1"/>
  <tableParts count="1">
    <tablePart r:id="rId3"/>
  </tableParts>
</worksheet>
</file>